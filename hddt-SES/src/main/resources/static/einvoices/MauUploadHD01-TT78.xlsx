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trann</author>
    <author>ASIA</author>
  </authors>
  <commentList>
    <comment ref="E1" authorId="0">
      <text>
        <r>
          <rPr>
            <sz val="9"/>
            <rFont val="Times New Roman"/>
            <charset val="0"/>
          </rPr>
          <t>Mã số đơn vị có quan hệ với ngân sách (chỉ tồn tại ký tự số)</t>
        </r>
      </text>
    </comment>
    <comment ref="K1" authorId="1">
      <text>
        <r>
          <rPr>
            <b/>
            <sz val="9"/>
            <rFont val="Tahoma"/>
            <charset val="1"/>
          </rPr>
          <t>Hình thức thanh toán
1: Tiền mặt
2: Chuyển khoản
3: Tiền mặt/ chuyển khoản
4: Đối trừ công nợ
5: Không thu tiền</t>
        </r>
      </text>
    </comment>
    <comment ref="O1" authorId="1">
      <text>
        <r>
          <rPr>
            <b/>
            <sz val="9"/>
            <rFont val="Tahoma"/>
            <charset val="134"/>
          </rPr>
          <t>Số lô</t>
        </r>
        <r>
          <rPr>
            <sz val="9"/>
            <rFont val="Tahoma"/>
            <charset val="1"/>
          </rPr>
          <t xml:space="preserve"> </t>
        </r>
      </text>
    </comment>
    <comment ref="P1" authorId="1">
      <text>
        <r>
          <rPr>
            <b/>
            <sz val="9"/>
            <rFont val="Tahoma"/>
            <charset val="134"/>
          </rPr>
          <t>Hạn sử dụng</t>
        </r>
        <r>
          <rPr>
            <sz val="9"/>
            <rFont val="Tahoma"/>
            <charset val="134"/>
          </rPr>
          <t xml:space="preserve">
</t>
        </r>
      </text>
    </comment>
    <comment ref="T1" authorId="1">
      <text>
        <r>
          <rPr>
            <b/>
            <sz val="9"/>
            <rFont val="Tahoma"/>
            <charset val="134"/>
          </rPr>
          <t>Ghi chú</t>
        </r>
        <r>
          <rPr>
            <sz val="9"/>
            <rFont val="Tahoma"/>
            <charset val="134"/>
          </rPr>
          <t>:
ThanhTien = SoLuong x DonGia</t>
        </r>
      </text>
    </comment>
    <comment ref="V1" authorId="1">
      <text>
        <r>
          <rPr>
            <b/>
            <sz val="9"/>
            <rFont val="Tahoma"/>
            <charset val="134"/>
          </rPr>
          <t xml:space="preserve">Ghi chú:
</t>
        </r>
        <r>
          <rPr>
            <sz val="9"/>
            <rFont val="Tahoma"/>
            <charset val="134"/>
          </rPr>
          <t>TienThue: Tiền thuế của mỗi sản phẩm</t>
        </r>
        <r>
          <rPr>
            <b/>
            <sz val="9"/>
            <rFont val="Tahoma"/>
            <charset val="134"/>
          </rPr>
          <t>. 
Tiền thuế = (ThanhTien x ThueSuat)/ 100</t>
        </r>
        <r>
          <rPr>
            <sz val="9"/>
            <rFont val="Tahoma"/>
            <charset val="134"/>
          </rPr>
          <t xml:space="preserve">
</t>
        </r>
      </text>
    </comment>
    <comment ref="W1" authorId="1">
      <text>
        <r>
          <rPr>
            <b/>
            <sz val="9"/>
            <rFont val="Tahoma"/>
            <charset val="134"/>
          </rPr>
          <t>Tính chất hàng hóa, dịch vụ</t>
        </r>
        <r>
          <rPr>
            <sz val="9"/>
            <rFont val="Tahoma"/>
            <charset val="134"/>
          </rPr>
          <t xml:space="preserve">
1: HH/DV
2: KM
3: CK
4: Ghi chú</t>
        </r>
      </text>
    </comment>
  </commentList>
</comments>
</file>

<file path=xl/sharedStrings.xml><?xml version="1.0" encoding="utf-8"?>
<sst xmlns="http://schemas.openxmlformats.org/spreadsheetml/2006/main" count="67" uniqueCount="59">
  <si>
    <t>MaHD(*)</t>
  </si>
  <si>
    <t>MaSoThue</t>
  </si>
  <si>
    <t>TenNguoiMua</t>
  </si>
  <si>
    <t>TenDonVi</t>
  </si>
  <si>
    <t>Mã số ĐVQHNS</t>
  </si>
  <si>
    <t>DiaChiKhachHang</t>
  </si>
  <si>
    <t>MailKhachHang</t>
  </si>
  <si>
    <t>SoDienThoaiKH</t>
  </si>
  <si>
    <t>SoTaiKhoan</t>
  </si>
  <si>
    <t>TenTaiKhoan</t>
  </si>
  <si>
    <t>HinhThucThanhToan(*)</t>
  </si>
  <si>
    <t>LoaiTien(*)</t>
  </si>
  <si>
    <t>TenHangHoa(*)</t>
  </si>
  <si>
    <t>MaHangHoa</t>
  </si>
  <si>
    <t>SoLo</t>
  </si>
  <si>
    <t>HanSuDung</t>
  </si>
  <si>
    <t>DonViTinh</t>
  </si>
  <si>
    <t>SoLuong</t>
  </si>
  <si>
    <t>DonGia</t>
  </si>
  <si>
    <t>ThanhTien(*)</t>
  </si>
  <si>
    <t>ThueSuat(*)</t>
  </si>
  <si>
    <t>TienThue(*)</t>
  </si>
  <si>
    <t>TinhChat(*)</t>
  </si>
  <si>
    <t>TyGia(*)</t>
  </si>
  <si>
    <t>1</t>
  </si>
  <si>
    <t>xxxxx</t>
  </si>
  <si>
    <t>CÔNG TY A</t>
  </si>
  <si>
    <t>Địa chỉ A</t>
  </si>
  <si>
    <t>xxx@gmail.com</t>
  </si>
  <si>
    <t>VND</t>
  </si>
  <si>
    <t>Sản phẩm 01</t>
  </si>
  <si>
    <t>01</t>
  </si>
  <si>
    <t>23/06/2022</t>
  </si>
  <si>
    <t>Chuyến</t>
  </si>
  <si>
    <t>Sản phẩm 02</t>
  </si>
  <si>
    <t>02</t>
  </si>
  <si>
    <t>Kg</t>
  </si>
  <si>
    <t>Sản phẩm 03</t>
  </si>
  <si>
    <t>03</t>
  </si>
  <si>
    <t>M3</t>
  </si>
  <si>
    <t>2</t>
  </si>
  <si>
    <t>Gói hàng 01</t>
  </si>
  <si>
    <t>ABC</t>
  </si>
  <si>
    <t>3</t>
  </si>
  <si>
    <t>Sản phẩm A</t>
  </si>
  <si>
    <t>Sản phẩm B</t>
  </si>
  <si>
    <t>Sản phẩm C</t>
  </si>
  <si>
    <t>END</t>
  </si>
  <si>
    <t>Hình thức thanh toán</t>
  </si>
  <si>
    <t>Tính chất hàng hóa, dịch vụ</t>
  </si>
  <si>
    <t>1: Tiền mặt</t>
  </si>
  <si>
    <t>1: HH/DV</t>
  </si>
  <si>
    <t>2: Chuyển khoản</t>
  </si>
  <si>
    <t>2: KM</t>
  </si>
  <si>
    <t>3: Tiền mặt/ chuyển khoản</t>
  </si>
  <si>
    <t>3: CK</t>
  </si>
  <si>
    <t>4: Đối trừ công nợ</t>
  </si>
  <si>
    <t>4: Ghi chú</t>
  </si>
  <si>
    <t>5: Không thu tiền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</si>
</sst>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"/>
    </font>
    <font>
      <sz val="9"/>
      <name val="Times New Roman"/>
      <charset val="0"/>
    </font>
    <font>
      <b/>
      <sz val="9"/>
      <name val="Tahoma"/>
      <charset val="134"/>
    </font>
    <font>
      <sz val="9"/>
      <name val="Tahoma"/>
      <charset val="1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1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"/>
  <sheetViews>
    <sheetView tabSelected="1" workbookViewId="0">
      <selection activeCell="G10" sqref="G10"/>
    </sheetView>
  </sheetViews>
  <sheetFormatPr defaultColWidth="9" defaultRowHeight="15"/>
  <cols>
    <col min="2" max="2" width="11.8571428571429" customWidth="1"/>
    <col min="3" max="3" width="16" customWidth="1"/>
    <col min="4" max="4" width="12.7142857142857" customWidth="1"/>
    <col min="5" max="5" width="15.4285714285714" customWidth="1"/>
    <col min="6" max="7" width="19.1428571428571" customWidth="1"/>
    <col min="8" max="8" width="15.2857142857143" customWidth="1"/>
    <col min="9" max="9" width="16" customWidth="1"/>
    <col min="10" max="10" width="12.8571428571429" customWidth="1"/>
    <col min="11" max="11" width="22.1428571428571" style="2" customWidth="1"/>
    <col min="12" max="12" width="11.5714285714286" customWidth="1"/>
    <col min="13" max="13" width="15.4285714285714" customWidth="1"/>
    <col min="14" max="16" width="14" customWidth="1"/>
    <col min="17" max="17" width="13.8571428571429" customWidth="1"/>
    <col min="18" max="18" width="9.14285714285714" style="3"/>
    <col min="19" max="19" width="9.57142857142857" style="4" customWidth="1"/>
    <col min="20" max="20" width="13" customWidth="1"/>
    <col min="21" max="21" width="12.1428571428571" customWidth="1"/>
    <col min="22" max="22" width="11.8571428571429" customWidth="1"/>
    <col min="23" max="23" width="10" customWidth="1"/>
  </cols>
  <sheetData>
    <row r="1" spans="1:24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6" t="s">
        <v>10</v>
      </c>
      <c r="L1" s="7" t="s">
        <v>11</v>
      </c>
      <c r="M1" s="7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4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>
      <c r="A2" t="s">
        <v>24</v>
      </c>
      <c r="B2" t="s">
        <v>25</v>
      </c>
      <c r="D2" t="s">
        <v>26</v>
      </c>
      <c r="F2" t="s">
        <v>27</v>
      </c>
      <c r="G2" t="s">
        <v>28</v>
      </c>
      <c r="K2" s="2">
        <v>2</v>
      </c>
      <c r="L2" t="s">
        <v>29</v>
      </c>
      <c r="M2" t="s">
        <v>30</v>
      </c>
      <c r="N2" t="s">
        <v>31</v>
      </c>
      <c r="O2">
        <v>1</v>
      </c>
      <c r="P2" t="s">
        <v>32</v>
      </c>
      <c r="Q2" t="s">
        <v>33</v>
      </c>
      <c r="R2" s="3">
        <v>1</v>
      </c>
      <c r="S2" s="4">
        <v>480000</v>
      </c>
      <c r="T2">
        <v>480000</v>
      </c>
      <c r="U2">
        <v>10</v>
      </c>
      <c r="V2">
        <v>48000</v>
      </c>
      <c r="W2">
        <v>1</v>
      </c>
      <c r="X2">
        <v>1</v>
      </c>
    </row>
    <row r="3" spans="1:24">
      <c r="A3" t="s">
        <v>24</v>
      </c>
      <c r="M3" t="s">
        <v>34</v>
      </c>
      <c r="N3" t="s">
        <v>35</v>
      </c>
      <c r="O3">
        <v>2</v>
      </c>
      <c r="P3" t="s">
        <v>32</v>
      </c>
      <c r="Q3" t="s">
        <v>36</v>
      </c>
      <c r="R3" s="3">
        <v>2</v>
      </c>
      <c r="S3" s="4">
        <v>1600</v>
      </c>
      <c r="T3">
        <v>2264000</v>
      </c>
      <c r="U3">
        <v>10</v>
      </c>
      <c r="V3">
        <v>22640000</v>
      </c>
      <c r="W3">
        <v>1</v>
      </c>
      <c r="X3">
        <v>1</v>
      </c>
    </row>
    <row r="4" spans="1:24">
      <c r="A4" t="s">
        <v>24</v>
      </c>
      <c r="M4" t="s">
        <v>37</v>
      </c>
      <c r="N4" t="s">
        <v>38</v>
      </c>
      <c r="O4">
        <v>2</v>
      </c>
      <c r="P4" t="s">
        <v>32</v>
      </c>
      <c r="Q4" t="s">
        <v>39</v>
      </c>
      <c r="R4" s="3">
        <v>3</v>
      </c>
      <c r="S4" s="4">
        <v>480000</v>
      </c>
      <c r="T4">
        <v>1797600</v>
      </c>
      <c r="U4">
        <v>10</v>
      </c>
      <c r="V4">
        <v>17976000</v>
      </c>
      <c r="W4">
        <v>1</v>
      </c>
      <c r="X4">
        <v>1</v>
      </c>
    </row>
    <row r="5" spans="1:24">
      <c r="A5" t="s">
        <v>40</v>
      </c>
      <c r="K5" s="2">
        <v>2</v>
      </c>
      <c r="L5" t="s">
        <v>29</v>
      </c>
      <c r="M5" t="s">
        <v>41</v>
      </c>
      <c r="N5" t="s">
        <v>42</v>
      </c>
      <c r="R5" s="3">
        <v>3</v>
      </c>
      <c r="S5" s="4">
        <v>230000</v>
      </c>
      <c r="T5">
        <f>R5*S5</f>
        <v>690000</v>
      </c>
      <c r="U5">
        <v>10</v>
      </c>
      <c r="V5">
        <f>(T5*U5)/100</f>
        <v>69000</v>
      </c>
      <c r="W5">
        <v>1</v>
      </c>
      <c r="X5">
        <v>1</v>
      </c>
    </row>
    <row r="6" spans="1:24">
      <c r="A6" t="s">
        <v>43</v>
      </c>
      <c r="K6" s="2">
        <v>2</v>
      </c>
      <c r="L6" t="s">
        <v>29</v>
      </c>
      <c r="M6" t="s">
        <v>44</v>
      </c>
      <c r="R6" s="3">
        <v>1</v>
      </c>
      <c r="S6" s="4">
        <v>200000</v>
      </c>
      <c r="T6">
        <f t="shared" ref="T6:T8" si="0">R6*S6</f>
        <v>200000</v>
      </c>
      <c r="U6">
        <v>8</v>
      </c>
      <c r="V6">
        <f t="shared" ref="V6:V8" si="1">(T6*U6)/100</f>
        <v>16000</v>
      </c>
      <c r="W6">
        <v>1</v>
      </c>
      <c r="X6">
        <v>1</v>
      </c>
    </row>
    <row r="7" spans="1:24">
      <c r="A7" t="s">
        <v>43</v>
      </c>
      <c r="M7" t="s">
        <v>45</v>
      </c>
      <c r="R7" s="3">
        <v>2</v>
      </c>
      <c r="S7" s="4">
        <v>2900000</v>
      </c>
      <c r="T7">
        <f t="shared" si="0"/>
        <v>5800000</v>
      </c>
      <c r="U7">
        <v>10</v>
      </c>
      <c r="V7">
        <f t="shared" si="1"/>
        <v>580000</v>
      </c>
      <c r="W7">
        <v>1</v>
      </c>
      <c r="X7">
        <v>1</v>
      </c>
    </row>
    <row r="8" spans="1:24">
      <c r="A8" t="s">
        <v>43</v>
      </c>
      <c r="M8" t="s">
        <v>46</v>
      </c>
      <c r="R8" s="3">
        <v>3</v>
      </c>
      <c r="S8" s="4">
        <v>2300000</v>
      </c>
      <c r="T8">
        <f t="shared" si="0"/>
        <v>6900000</v>
      </c>
      <c r="U8">
        <v>8</v>
      </c>
      <c r="V8">
        <f t="shared" si="1"/>
        <v>552000</v>
      </c>
      <c r="W8">
        <v>1</v>
      </c>
      <c r="X8">
        <v>1</v>
      </c>
    </row>
    <row r="9" spans="1:1">
      <c r="A9" t="s">
        <v>47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4" sqref="B4"/>
    </sheetView>
  </sheetViews>
  <sheetFormatPr defaultColWidth="9" defaultRowHeight="15" outlineLevelRow="5" outlineLevelCol="1"/>
  <cols>
    <col min="1" max="1" width="32.5714285714286" customWidth="1"/>
    <col min="2" max="2" width="25.5714285714286" customWidth="1"/>
  </cols>
  <sheetData>
    <row r="1" spans="1:2">
      <c r="A1" s="1" t="s">
        <v>48</v>
      </c>
      <c r="B1" s="1" t="s">
        <v>49</v>
      </c>
    </row>
    <row r="2" spans="1:2">
      <c r="A2" t="s">
        <v>50</v>
      </c>
      <c r="B2" t="s">
        <v>51</v>
      </c>
    </row>
    <row r="3" spans="1:2">
      <c r="A3" t="s">
        <v>52</v>
      </c>
      <c r="B3" t="s">
        <v>53</v>
      </c>
    </row>
    <row r="4" spans="1:2">
      <c r="A4" t="s">
        <v>54</v>
      </c>
      <c r="B4" t="s">
        <v>55</v>
      </c>
    </row>
    <row r="5" spans="1:2">
      <c r="A5" t="s">
        <v>56</v>
      </c>
      <c r="B5" t="s">
        <v>57</v>
      </c>
    </row>
    <row r="6" spans="1:1">
      <c r="A6" t="s">
        <v>58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trann</cp:lastModifiedBy>
  <dcterms:created xsi:type="dcterms:W3CDTF">2022-06-21T01:29:00Z</dcterms:created>
  <dcterms:modified xsi:type="dcterms:W3CDTF">2025-06-06T10:30:13Z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2686B0F93FAB4683993B4D5BC15C9752_12</vt:lpwstr>
  </property>
  <property fmtid="{D5CDD505-2E9C-101B-9397-08002B2CF9AE}" pid="3" name="KSOProductBuildVer">
    <vt:lpwstr>1033-12.2.0.21179</vt:lpwstr>
  </property>
</Properties>
</file>
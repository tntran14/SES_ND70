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  <sheet name="Ghi chu" sheetId="2" r:id="rId2"/>
  </sheets>
  <calcPr calcId="144525"/>
</workbook>
</file>

<file path=xl/comments1.xml><?xml version="1.0" encoding="utf-8"?>
<comments xmlns="http://schemas.openxmlformats.org/spreadsheetml/2006/main">
  <authors>
    <author>haof</author>
    <author>ASIA</author>
    <author>nguyen hungn</author>
  </authors>
  <commentList>
    <comment ref="K1" authorId="0">
      <text>
        <r>
          <rPr>
            <sz val="9"/>
            <rFont val="Times New Roman"/>
            <charset val="0"/>
          </rPr>
          <t xml:space="preserve">Loại hóa đơn
1: Hóa đơn giá trị gia tăng
2: Hóa đơn bán hàng
</t>
        </r>
      </text>
    </comment>
    <comment ref="L1" authorId="1">
      <text>
        <r>
          <rPr>
            <b/>
            <sz val="9"/>
            <rFont val="Tahoma"/>
            <charset val="1"/>
          </rPr>
          <t>Hình thức thanh toán
1: Tiền mặt
2: Chuyển khoản
3: Tiền mặt/ chuyển khoản
4: Đối trừ công nợ
5: Không thu tiền</t>
        </r>
      </text>
    </comment>
    <comment ref="S1" authorId="1">
      <text>
        <r>
          <rPr>
            <b/>
            <sz val="9"/>
            <rFont val="Tahoma"/>
            <charset val="134"/>
          </rPr>
          <t>Ghi chú</t>
        </r>
        <r>
          <rPr>
            <sz val="9"/>
            <rFont val="Tahoma"/>
            <charset val="134"/>
          </rPr>
          <t>:
ThanhTien = SoLuong x DonGia</t>
        </r>
      </text>
    </comment>
    <comment ref="U1" authorId="0">
      <text>
        <r>
          <rPr>
            <b/>
            <sz val="9"/>
            <rFont val="Times New Roman"/>
            <charset val="0"/>
          </rPr>
          <t>Tiền thuế:</t>
        </r>
        <r>
          <rPr>
            <sz val="9"/>
            <rFont val="Times New Roman"/>
            <charset val="0"/>
          </rPr>
          <t xml:space="preserve">
Tiền thuế = Thành tiền * (Thuế suát / 100 )</t>
        </r>
      </text>
    </comment>
    <comment ref="V1" authorId="1">
      <text>
        <r>
          <rPr>
            <b/>
            <sz val="9"/>
            <rFont val="Tahoma"/>
            <charset val="134"/>
          </rPr>
          <t>Tính chất hàng hóa, dịch vụ</t>
        </r>
        <r>
          <rPr>
            <sz val="9"/>
            <rFont val="Tahoma"/>
            <charset val="134"/>
          </rPr>
          <t xml:space="preserve">
1: HH/DV
2: KM
3: CK
4: Ghi chú</t>
        </r>
      </text>
    </comment>
    <comment ref="X1" authorId="2">
      <text>
        <r>
          <rPr>
            <b/>
            <sz val="9"/>
            <rFont val="Tahoma"/>
            <charset val="134"/>
          </rPr>
          <t>Tổng tiền = ThanhTien + TienThue</t>
        </r>
      </text>
    </comment>
  </commentList>
</comments>
</file>

<file path=xl/sharedStrings.xml><?xml version="1.0" encoding="utf-8"?>
<sst xmlns="http://schemas.openxmlformats.org/spreadsheetml/2006/main" count="62" uniqueCount="55">
  <si>
    <t>MaHD(*)</t>
  </si>
  <si>
    <t>MaSoThue</t>
  </si>
  <si>
    <t>TenNguoiMua</t>
  </si>
  <si>
    <t>CCCD</t>
  </si>
  <si>
    <t>TenDonVi</t>
  </si>
  <si>
    <t>DiaChiKhachHang</t>
  </si>
  <si>
    <t>MailKhachHang</t>
  </si>
  <si>
    <t>SoDienThoaiKH</t>
  </si>
  <si>
    <t>SoTaiKhoan</t>
  </si>
  <si>
    <t>TenNganHang</t>
  </si>
  <si>
    <t>LoaiHoaDon(*)</t>
  </si>
  <si>
    <t>HinhThucThanhToan(*)</t>
  </si>
  <si>
    <t>LoaiTien(*)</t>
  </si>
  <si>
    <t>TenHangHoa(*)</t>
  </si>
  <si>
    <t>MaHangHoa</t>
  </si>
  <si>
    <t>DonViTinh</t>
  </si>
  <si>
    <t>SoLuong</t>
  </si>
  <si>
    <t>DonGia</t>
  </si>
  <si>
    <t>ThanhTien(*)</t>
  </si>
  <si>
    <t>ThueSuat(*)</t>
  </si>
  <si>
    <t>TienThue(*)</t>
  </si>
  <si>
    <t>TinhChat(*)</t>
  </si>
  <si>
    <t>TyGia(*)</t>
  </si>
  <si>
    <t>TongTien(*)</t>
  </si>
  <si>
    <t>1</t>
  </si>
  <si>
    <t>0107521365</t>
  </si>
  <si>
    <t>CÔNG TY A</t>
  </si>
  <si>
    <t>Địa chỉ A</t>
  </si>
  <si>
    <t>xxx@gmail.com</t>
  </si>
  <si>
    <t>VND</t>
  </si>
  <si>
    <t>Sản phẩm 01</t>
  </si>
  <si>
    <t>01</t>
  </si>
  <si>
    <t>Chuyến</t>
  </si>
  <si>
    <t>Sản phẩm 02</t>
  </si>
  <si>
    <t>02</t>
  </si>
  <si>
    <t>Kg</t>
  </si>
  <si>
    <t>Sản phẩm 03</t>
  </si>
  <si>
    <t>03</t>
  </si>
  <si>
    <t>M3</t>
  </si>
  <si>
    <t>2</t>
  </si>
  <si>
    <t>Gói hàng 01</t>
  </si>
  <si>
    <t>ABC</t>
  </si>
  <si>
    <t>Hình thức thanh toán</t>
  </si>
  <si>
    <t>Tính chất hàng hóa, dịch vụ</t>
  </si>
  <si>
    <t>Loại hóa đơn</t>
  </si>
  <si>
    <t>1: Tiền mặt</t>
  </si>
  <si>
    <t>1: HH/DV</t>
  </si>
  <si>
    <t>1: Hóa đơn giá trị gia tăng</t>
  </si>
  <si>
    <t>2: Chuyển khoản</t>
  </si>
  <si>
    <t>2: KM</t>
  </si>
  <si>
    <t>2: Hóa đơn bán hàng</t>
  </si>
  <si>
    <t>3: Tiền mặt/ chuyển khoản</t>
  </si>
  <si>
    <t>4: Đối trừ công nợ</t>
  </si>
  <si>
    <t>4: Ghi chú</t>
  </si>
  <si>
    <t>5: Không thu tiền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</si>
</sst>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9"/>
      <name val="Times New Roman"/>
      <charset val="0"/>
    </font>
    <font>
      <sz val="9"/>
      <name val="Tahoma"/>
      <charset val="134"/>
    </font>
    <font>
      <b/>
      <sz val="9"/>
      <name val="Tahoma"/>
      <charset val="134"/>
    </font>
    <font>
      <b/>
      <sz val="9"/>
      <name val="Tahoma"/>
      <charset val="1"/>
    </font>
    <font>
      <sz val="9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1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1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2" fontId="0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"/>
  <sheetViews>
    <sheetView tabSelected="1" workbookViewId="0">
      <selection activeCell="H28" sqref="H28"/>
    </sheetView>
  </sheetViews>
  <sheetFormatPr defaultColWidth="9" defaultRowHeight="14.25"/>
  <cols>
    <col min="1" max="1" width="9" style="2"/>
    <col min="2" max="2" width="11.8166666666667" style="2" customWidth="1"/>
    <col min="3" max="3" width="16" style="2" customWidth="1"/>
    <col min="4" max="5" width="12.725" customWidth="1"/>
    <col min="6" max="7" width="19.1833333333333" customWidth="1"/>
    <col min="8" max="8" width="15.2666666666667" customWidth="1"/>
    <col min="9" max="9" width="16" customWidth="1"/>
    <col min="10" max="10" width="12.8166666666667" customWidth="1"/>
    <col min="11" max="12" width="22.1833333333333" style="3" customWidth="1"/>
    <col min="13" max="13" width="11.5416666666667" customWidth="1"/>
    <col min="14" max="14" width="15.45" customWidth="1"/>
    <col min="15" max="15" width="14" style="2" customWidth="1"/>
    <col min="16" max="16" width="13.8166666666667" customWidth="1"/>
    <col min="17" max="17" width="9.18333333333333" style="4"/>
    <col min="18" max="18" width="9.54166666666667" style="5" customWidth="1"/>
    <col min="19" max="19" width="13" customWidth="1"/>
    <col min="20" max="22" width="10" customWidth="1"/>
    <col min="24" max="24" width="11.875" customWidth="1"/>
    <col min="25" max="25" width="9.375" customWidth="1"/>
  </cols>
  <sheetData>
    <row r="1" spans="1:25">
      <c r="A1" s="6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2" t="s">
        <v>14</v>
      </c>
      <c r="P1" t="s">
        <v>15</v>
      </c>
      <c r="Q1" s="4" t="s">
        <v>16</v>
      </c>
      <c r="R1" s="5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11"/>
    </row>
    <row r="2" spans="1:25">
      <c r="A2" s="2" t="s">
        <v>24</v>
      </c>
      <c r="B2" s="2" t="s">
        <v>25</v>
      </c>
      <c r="E2" t="s">
        <v>26</v>
      </c>
      <c r="F2" t="s">
        <v>27</v>
      </c>
      <c r="G2" t="s">
        <v>28</v>
      </c>
      <c r="K2" s="3">
        <v>1</v>
      </c>
      <c r="L2" s="3">
        <v>2</v>
      </c>
      <c r="M2" t="s">
        <v>29</v>
      </c>
      <c r="N2" t="s">
        <v>30</v>
      </c>
      <c r="O2" s="2" t="s">
        <v>31</v>
      </c>
      <c r="P2" t="s">
        <v>32</v>
      </c>
      <c r="Q2" s="4">
        <v>1</v>
      </c>
      <c r="R2" s="5">
        <v>480000</v>
      </c>
      <c r="S2">
        <f>Q2*R2</f>
        <v>480000</v>
      </c>
      <c r="T2">
        <v>10</v>
      </c>
      <c r="U2">
        <f>S2*(T2/100)</f>
        <v>48000</v>
      </c>
      <c r="V2">
        <v>1</v>
      </c>
      <c r="W2">
        <v>1</v>
      </c>
      <c r="X2" s="10">
        <f>SUM(S2,U2)</f>
        <v>528000</v>
      </c>
      <c r="Y2" s="12"/>
    </row>
    <row r="3" spans="1:24">
      <c r="A3" s="2" t="s">
        <v>24</v>
      </c>
      <c r="N3" t="s">
        <v>33</v>
      </c>
      <c r="O3" s="2" t="s">
        <v>34</v>
      </c>
      <c r="P3" t="s">
        <v>35</v>
      </c>
      <c r="Q3" s="4">
        <v>2</v>
      </c>
      <c r="R3" s="5">
        <v>1600</v>
      </c>
      <c r="S3">
        <f>Q3*R3</f>
        <v>3200</v>
      </c>
      <c r="T3">
        <v>10</v>
      </c>
      <c r="U3">
        <f>S3*(T3/100)</f>
        <v>320</v>
      </c>
      <c r="V3">
        <v>1</v>
      </c>
      <c r="X3" s="10">
        <f>SUM(S3,U3)</f>
        <v>3520</v>
      </c>
    </row>
    <row r="4" spans="1:24">
      <c r="A4" s="2" t="s">
        <v>24</v>
      </c>
      <c r="N4" t="s">
        <v>36</v>
      </c>
      <c r="O4" s="2" t="s">
        <v>37</v>
      </c>
      <c r="P4" t="s">
        <v>38</v>
      </c>
      <c r="Q4" s="4">
        <v>3</v>
      </c>
      <c r="R4" s="5">
        <v>480000</v>
      </c>
      <c r="S4">
        <f>Q4*R4</f>
        <v>1440000</v>
      </c>
      <c r="T4">
        <v>10</v>
      </c>
      <c r="U4">
        <f>S4*(T4/100)</f>
        <v>144000</v>
      </c>
      <c r="V4">
        <v>1</v>
      </c>
      <c r="X4" s="10">
        <f>SUM(S4,U4)</f>
        <v>1584000</v>
      </c>
    </row>
    <row r="5" spans="1:24">
      <c r="A5" s="2" t="s">
        <v>39</v>
      </c>
      <c r="B5" s="2" t="s">
        <v>25</v>
      </c>
      <c r="E5" t="s">
        <v>26</v>
      </c>
      <c r="F5" t="s">
        <v>27</v>
      </c>
      <c r="G5" t="s">
        <v>28</v>
      </c>
      <c r="K5" s="3">
        <v>2</v>
      </c>
      <c r="L5" s="3">
        <v>2</v>
      </c>
      <c r="M5" t="s">
        <v>29</v>
      </c>
      <c r="N5" t="s">
        <v>40</v>
      </c>
      <c r="O5" s="2" t="s">
        <v>41</v>
      </c>
      <c r="Q5" s="4">
        <v>3</v>
      </c>
      <c r="R5" s="5">
        <v>230000</v>
      </c>
      <c r="S5">
        <f>Q5*R5</f>
        <v>690000</v>
      </c>
      <c r="U5">
        <f>S5*(T5/100)</f>
        <v>0</v>
      </c>
      <c r="V5">
        <v>1</v>
      </c>
      <c r="W5">
        <v>1</v>
      </c>
      <c r="X5" s="10">
        <f>SUM(S5,U5)</f>
        <v>690000</v>
      </c>
    </row>
    <row r="6" spans="24:24">
      <c r="X6" s="10"/>
    </row>
    <row r="7" spans="24:24">
      <c r="X7" s="10"/>
    </row>
    <row r="8" spans="24:24">
      <c r="X8" s="10"/>
    </row>
    <row r="9" spans="24:24">
      <c r="X9" s="10"/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" sqref="C1:C3"/>
    </sheetView>
  </sheetViews>
  <sheetFormatPr defaultColWidth="9" defaultRowHeight="14.25" outlineLevelRow="5" outlineLevelCol="2"/>
  <cols>
    <col min="1" max="1" width="32.5416666666667" customWidth="1"/>
    <col min="2" max="2" width="25.5416666666667" customWidth="1"/>
    <col min="3" max="3" width="23.625" customWidth="1"/>
  </cols>
  <sheetData>
    <row r="1" spans="1:3">
      <c r="A1" s="1" t="s">
        <v>42</v>
      </c>
      <c r="B1" s="1" t="s">
        <v>43</v>
      </c>
      <c r="C1" s="1" t="s">
        <v>44</v>
      </c>
    </row>
    <row r="2" spans="1:3">
      <c r="A2" t="s">
        <v>45</v>
      </c>
      <c r="B2" t="s">
        <v>46</v>
      </c>
      <c r="C2" t="s">
        <v>47</v>
      </c>
    </row>
    <row r="3" spans="1:3">
      <c r="A3" t="s">
        <v>48</v>
      </c>
      <c r="B3" t="s">
        <v>49</v>
      </c>
      <c r="C3" t="s">
        <v>50</v>
      </c>
    </row>
    <row r="4" spans="1:1">
      <c r="A4" t="s">
        <v>51</v>
      </c>
    </row>
    <row r="5" spans="1:2">
      <c r="A5" t="s">
        <v>52</v>
      </c>
      <c r="B5" t="s">
        <v>53</v>
      </c>
    </row>
    <row r="6" spans="1:1">
      <c r="A6" t="s">
        <v>54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X1" rgbClr="3CA6C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Ghi chu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haof</cp:lastModifiedBy>
  <dcterms:created xsi:type="dcterms:W3CDTF">2022-06-23T17:29:00Z</dcterms:created>
  <dcterms:modified xsi:type="dcterms:W3CDTF">2025-01-21T08:12:10Z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
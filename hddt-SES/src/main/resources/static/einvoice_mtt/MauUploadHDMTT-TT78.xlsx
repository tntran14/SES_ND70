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Sheet1" sheetId="1" r:id="rId1"/>
    <sheet name="Ghi chu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trann</author>
    <author>haof</author>
    <author>ASIA</author>
    <author>nguyen hungn</author>
  </authors>
  <commentList>
    <comment ref="J1" authorId="0">
      <text>
        <r>
          <rPr>
            <sz val="11"/>
            <rFont val="Times New Roman"/>
            <charset val="0"/>
          </rPr>
          <t>Cách nhau bơi dấu ,</t>
        </r>
      </text>
    </comment>
    <comment ref="N1" authorId="1">
      <text>
        <r>
          <rPr>
            <sz val="9"/>
            <rFont val="Times New Roman"/>
            <charset val="0"/>
          </rPr>
          <t xml:space="preserve">Loại hóa đơn
1: Hóa đơn giá trị gia tăng
2: Hóa đơn bán hàng
</t>
        </r>
      </text>
    </comment>
    <comment ref="O1" authorId="2">
      <text>
        <r>
          <rPr>
            <b/>
            <sz val="9"/>
            <rFont val="Tahoma"/>
            <charset val="1"/>
          </rPr>
          <t>Hình thức thanh toán
1: Tiền mặt
2: Chuyển khoản
3: Tiền mặt/ chuyển khoản
4: Đối trừ công nợ
5: Không thu tiền</t>
        </r>
      </text>
    </comment>
    <comment ref="V1" authorId="2">
      <text>
        <r>
          <rPr>
            <b/>
            <sz val="9"/>
            <rFont val="Tahoma"/>
            <charset val="134"/>
          </rPr>
          <t>Ghi chú</t>
        </r>
        <r>
          <rPr>
            <sz val="9"/>
            <rFont val="Tahoma"/>
            <charset val="134"/>
          </rPr>
          <t>:
ThanhTien = SoLuong x DonGia</t>
        </r>
      </text>
    </comment>
    <comment ref="X1" authorId="1">
      <text>
        <r>
          <rPr>
            <b/>
            <sz val="9"/>
            <rFont val="Times New Roman"/>
            <charset val="0"/>
          </rPr>
          <t>Tiền thuế:</t>
        </r>
        <r>
          <rPr>
            <sz val="9"/>
            <rFont val="Times New Roman"/>
            <charset val="0"/>
          </rPr>
          <t xml:space="preserve">
Tiền thuế = Thành tiền * (Thuế suát / 100 )</t>
        </r>
      </text>
    </comment>
    <comment ref="Y1" authorId="2">
      <text>
        <r>
          <rPr>
            <b/>
            <sz val="9"/>
            <rFont val="Tahoma"/>
            <charset val="134"/>
          </rPr>
          <t>Tính chất hàng hóa, dịch vụ</t>
        </r>
        <r>
          <rPr>
            <sz val="9"/>
            <rFont val="Tahoma"/>
            <charset val="134"/>
          </rPr>
          <t xml:space="preserve">
1: HH/DV
2: KM
3: CK
4: Ghi chú</t>
        </r>
      </text>
    </comment>
    <comment ref="AA1" authorId="3">
      <text>
        <r>
          <rPr>
            <b/>
            <sz val="9"/>
            <rFont val="Tahoma"/>
            <charset val="134"/>
          </rPr>
          <t>Tổng tiền = ThanhTien + TienThue</t>
        </r>
      </text>
    </comment>
  </commentList>
</comments>
</file>

<file path=xl/sharedStrings.xml><?xml version="1.0" encoding="utf-8"?>
<sst xmlns="http://schemas.openxmlformats.org/spreadsheetml/2006/main" count="66" uniqueCount="59">
  <si>
    <t>MaHD(*)</t>
  </si>
  <si>
    <t>MaSoThue</t>
  </si>
  <si>
    <t>TenNguoiMua</t>
  </si>
  <si>
    <t>MaSoDVQHNS</t>
  </si>
  <si>
    <t>CCCD</t>
  </si>
  <si>
    <t>SoHoChieu</t>
  </si>
  <si>
    <t>TenDonVi</t>
  </si>
  <si>
    <t>DiaChiKhachHang</t>
  </si>
  <si>
    <t>MailKhachHang</t>
  </si>
  <si>
    <t>MailCC</t>
  </si>
  <si>
    <t>SoDienThoaiKH</t>
  </si>
  <si>
    <t>SoTaiKhoan</t>
  </si>
  <si>
    <t>TenNganHang</t>
  </si>
  <si>
    <t>LoaiHoaDon(*)</t>
  </si>
  <si>
    <t>HinhThucThanhToan(*)</t>
  </si>
  <si>
    <t>LoaiTien(*)</t>
  </si>
  <si>
    <t>TenHangHoa(*)</t>
  </si>
  <si>
    <t>MaHangHoa</t>
  </si>
  <si>
    <t>DonViTinh</t>
  </si>
  <si>
    <t>SoLuong</t>
  </si>
  <si>
    <t>DonGia</t>
  </si>
  <si>
    <t>ThanhTien(*)</t>
  </si>
  <si>
    <t>ThueSuat(*)</t>
  </si>
  <si>
    <t>TienThue(*)</t>
  </si>
  <si>
    <t>TinhChat(*)</t>
  </si>
  <si>
    <t>TyGia(*)</t>
  </si>
  <si>
    <t>TongTien(*)</t>
  </si>
  <si>
    <t>1</t>
  </si>
  <si>
    <t>0107521365</t>
  </si>
  <si>
    <t>CÔNG TY A</t>
  </si>
  <si>
    <t>Địa chỉ A</t>
  </si>
  <si>
    <t>xxx@gmail.com</t>
  </si>
  <si>
    <t>VND</t>
  </si>
  <si>
    <t>Sản phẩm 01</t>
  </si>
  <si>
    <t>01</t>
  </si>
  <si>
    <t>Chuyến</t>
  </si>
  <si>
    <t>Sản phẩm 02</t>
  </si>
  <si>
    <t>02</t>
  </si>
  <si>
    <t>Kg</t>
  </si>
  <si>
    <t>Sản phẩm 03</t>
  </si>
  <si>
    <t>03</t>
  </si>
  <si>
    <t>M3</t>
  </si>
  <si>
    <t>2</t>
  </si>
  <si>
    <t>Gói hàng 01</t>
  </si>
  <si>
    <t>ABC</t>
  </si>
  <si>
    <t>END</t>
  </si>
  <si>
    <t>Hình thức thanh toán</t>
  </si>
  <si>
    <t>Tính chất hàng hóa, dịch vụ</t>
  </si>
  <si>
    <t>Loại hóa đơn</t>
  </si>
  <si>
    <t>1: Tiền mặt</t>
  </si>
  <si>
    <t>1: HH/DV</t>
  </si>
  <si>
    <t>1: Hóa đơn giá trị gia tăng</t>
  </si>
  <si>
    <t>2: Chuyển khoản</t>
  </si>
  <si>
    <t>2: KM</t>
  </si>
  <si>
    <t>2: Hóa đơn bán hàng</t>
  </si>
  <si>
    <t>3: Tiền mặt/ chuyển khoản</t>
  </si>
  <si>
    <t>4: Đối trừ công nợ</t>
  </si>
  <si>
    <t>4: Ghi chú</t>
  </si>
  <si>
    <t>5: Không thu tiền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</si>
</sst>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7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ahoma"/>
      <charset val="134"/>
    </font>
    <font>
      <sz val="11"/>
      <name val="Times New Roman"/>
      <charset val="0"/>
    </font>
    <font>
      <sz val="9"/>
      <name val="Times New Roman"/>
      <charset val="0"/>
    </font>
    <font>
      <b/>
      <sz val="9"/>
      <name val="Tahoma"/>
      <charset val="134"/>
    </font>
    <font>
      <b/>
      <sz val="9"/>
      <name val="Tahoma"/>
      <charset val="1"/>
    </font>
    <font>
      <b/>
      <sz val="9"/>
      <name val="Times New Roman"/>
      <charset val="0"/>
    </font>
  </fonts>
  <fills count="3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3" fontId="0" fillId="0" borderId="0" xfId="0" applyNumberFormat="1"/>
    <xf numFmtId="1" fontId="0" fillId="0" borderId="0" xfId="0" applyNumberFormat="1"/>
    <xf numFmtId="49" fontId="1" fillId="2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horizontal="center"/>
    </xf>
    <xf numFmtId="1" fontId="1" fillId="3" borderId="0" xfId="0" applyNumberFormat="1" applyFont="1" applyFill="1" applyAlignment="1">
      <alignment horizontal="center" vertical="center"/>
    </xf>
    <xf numFmtId="1" fontId="1" fillId="4" borderId="0" xfId="0" applyNumberFormat="1" applyFont="1" applyFill="1" applyAlignment="1">
      <alignment horizontal="center" vertical="center"/>
    </xf>
    <xf numFmtId="1" fontId="1" fillId="0" borderId="0" xfId="0" applyNumberFormat="1" applyFont="1" applyFill="1" applyAlignment="1">
      <alignment horizontal="center" vertical="center"/>
    </xf>
    <xf numFmtId="2" fontId="0" fillId="0" borderId="0" xfId="0" applyNumberFormat="1" applyFont="1" applyFill="1" applyAlignment="1">
      <alignment horizontal="center" vertical="center"/>
    </xf>
    <xf numFmtId="49" fontId="0" fillId="0" borderId="0" xfId="0" applyNumberFormat="1" applyFon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6"/>
  <sheetViews>
    <sheetView tabSelected="1" workbookViewId="0">
      <selection activeCell="N14" sqref="N14"/>
    </sheetView>
  </sheetViews>
  <sheetFormatPr defaultColWidth="9" defaultRowHeight="15" outlineLevelRow="5"/>
  <cols>
    <col min="1" max="1" width="9" style="2"/>
    <col min="2" max="2" width="11.8190476190476" style="2" customWidth="1"/>
    <col min="3" max="4" width="16" style="2" customWidth="1"/>
    <col min="5" max="7" width="12.7238095238095" style="2" customWidth="1"/>
    <col min="8" max="9" width="19.1809523809524" style="2" customWidth="1"/>
    <col min="10" max="11" width="15.2666666666667" style="2" customWidth="1"/>
    <col min="12" max="12" width="16" style="2" customWidth="1"/>
    <col min="13" max="13" width="12.8190476190476" style="2" customWidth="1"/>
    <col min="14" max="15" width="22.1809523809524" style="3" customWidth="1"/>
    <col min="16" max="16" width="11.5428571428571" customWidth="1"/>
    <col min="17" max="17" width="15.447619047619" customWidth="1"/>
    <col min="18" max="18" width="14" style="2" customWidth="1"/>
    <col min="19" max="19" width="13.8190476190476" customWidth="1"/>
    <col min="20" max="20" width="9.18095238095238" style="4"/>
    <col min="21" max="21" width="9.54285714285714" style="5" customWidth="1"/>
    <col min="22" max="22" width="13" customWidth="1"/>
    <col min="23" max="25" width="10" customWidth="1"/>
    <col min="27" max="27" width="11.8761904761905" customWidth="1"/>
    <col min="28" max="28" width="9.37142857142857" customWidth="1"/>
  </cols>
  <sheetData>
    <row r="1" spans="1:28">
      <c r="A1" s="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7" t="s">
        <v>13</v>
      </c>
      <c r="O1" s="7" t="s">
        <v>14</v>
      </c>
      <c r="P1" s="8" t="s">
        <v>15</v>
      </c>
      <c r="Q1" s="8" t="s">
        <v>16</v>
      </c>
      <c r="R1" s="2" t="s">
        <v>17</v>
      </c>
      <c r="S1" t="s">
        <v>18</v>
      </c>
      <c r="T1" s="4" t="s">
        <v>19</v>
      </c>
      <c r="U1" s="5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10"/>
    </row>
    <row r="2" spans="1:28">
      <c r="A2" s="2" t="s">
        <v>27</v>
      </c>
      <c r="B2" s="2" t="s">
        <v>28</v>
      </c>
      <c r="G2" s="2" t="s">
        <v>29</v>
      </c>
      <c r="H2" s="2" t="s">
        <v>30</v>
      </c>
      <c r="I2" s="2" t="s">
        <v>31</v>
      </c>
      <c r="N2" s="3">
        <v>1</v>
      </c>
      <c r="O2" s="3">
        <v>2</v>
      </c>
      <c r="P2" t="s">
        <v>32</v>
      </c>
      <c r="Q2" t="s">
        <v>33</v>
      </c>
      <c r="R2" s="2" t="s">
        <v>34</v>
      </c>
      <c r="S2" t="s">
        <v>35</v>
      </c>
      <c r="T2" s="4">
        <v>1</v>
      </c>
      <c r="U2" s="5">
        <v>480000</v>
      </c>
      <c r="V2">
        <f>T2*U2</f>
        <v>480000</v>
      </c>
      <c r="W2">
        <v>10</v>
      </c>
      <c r="X2">
        <f>V2*(W2/100)</f>
        <v>48000</v>
      </c>
      <c r="Y2">
        <v>1</v>
      </c>
      <c r="Z2">
        <v>1</v>
      </c>
      <c r="AA2" s="11">
        <f>SUM(V2,X2)</f>
        <v>528000</v>
      </c>
      <c r="AB2" s="12"/>
    </row>
    <row r="3" spans="1:27">
      <c r="A3" s="2" t="s">
        <v>27</v>
      </c>
      <c r="Q3" t="s">
        <v>36</v>
      </c>
      <c r="R3" s="2" t="s">
        <v>37</v>
      </c>
      <c r="S3" t="s">
        <v>38</v>
      </c>
      <c r="T3" s="4">
        <v>2</v>
      </c>
      <c r="U3" s="5">
        <v>1600</v>
      </c>
      <c r="V3">
        <f>T3*U3</f>
        <v>3200</v>
      </c>
      <c r="W3">
        <v>10</v>
      </c>
      <c r="X3">
        <f>V3*(W3/100)</f>
        <v>320</v>
      </c>
      <c r="Y3">
        <v>1</v>
      </c>
      <c r="AA3" s="11">
        <f>SUM(V3,X3)</f>
        <v>3520</v>
      </c>
    </row>
    <row r="4" spans="1:27">
      <c r="A4" s="2" t="s">
        <v>27</v>
      </c>
      <c r="Q4" t="s">
        <v>39</v>
      </c>
      <c r="R4" s="2" t="s">
        <v>40</v>
      </c>
      <c r="S4" t="s">
        <v>41</v>
      </c>
      <c r="T4" s="4">
        <v>3</v>
      </c>
      <c r="U4" s="5">
        <v>480000</v>
      </c>
      <c r="V4">
        <f>T4*U4</f>
        <v>1440000</v>
      </c>
      <c r="W4">
        <v>10</v>
      </c>
      <c r="X4">
        <f>V4*(W4/100)</f>
        <v>144000</v>
      </c>
      <c r="Y4">
        <v>1</v>
      </c>
      <c r="AA4" s="11">
        <f>SUM(V4,X4)</f>
        <v>1584000</v>
      </c>
    </row>
    <row r="5" spans="1:27">
      <c r="A5" s="2" t="s">
        <v>42</v>
      </c>
      <c r="B5" s="2" t="s">
        <v>28</v>
      </c>
      <c r="G5" s="2" t="s">
        <v>29</v>
      </c>
      <c r="H5" s="2" t="s">
        <v>30</v>
      </c>
      <c r="I5" s="2" t="s">
        <v>31</v>
      </c>
      <c r="N5" s="3">
        <v>2</v>
      </c>
      <c r="O5" s="3">
        <v>2</v>
      </c>
      <c r="P5" t="s">
        <v>32</v>
      </c>
      <c r="Q5" t="s">
        <v>43</v>
      </c>
      <c r="R5" s="2" t="s">
        <v>44</v>
      </c>
      <c r="T5" s="4">
        <v>3</v>
      </c>
      <c r="U5" s="5">
        <v>230000</v>
      </c>
      <c r="V5">
        <f>T5*U5</f>
        <v>690000</v>
      </c>
      <c r="X5">
        <f>V5*(W5/100)</f>
        <v>0</v>
      </c>
      <c r="Y5">
        <v>1</v>
      </c>
      <c r="Z5">
        <v>1</v>
      </c>
      <c r="AA5" s="11">
        <f>SUM(V5,X5)</f>
        <v>690000</v>
      </c>
    </row>
    <row r="6" spans="1:27">
      <c r="A6" s="2" t="s">
        <v>45</v>
      </c>
      <c r="AA6" s="11"/>
    </row>
  </sheetData>
  <pageMargins left="0.7" right="0.7" top="0.75" bottom="0.75" header="0.3" footer="0.3"/>
  <pageSetup paperSize="1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"/>
  <sheetViews>
    <sheetView workbookViewId="0">
      <selection activeCell="C1" sqref="C1:C3"/>
    </sheetView>
  </sheetViews>
  <sheetFormatPr defaultColWidth="9" defaultRowHeight="15" outlineLevelRow="5" outlineLevelCol="2"/>
  <cols>
    <col min="1" max="1" width="32.5428571428571" customWidth="1"/>
    <col min="2" max="2" width="25.5428571428571" customWidth="1"/>
    <col min="3" max="3" width="23.6285714285714" customWidth="1"/>
  </cols>
  <sheetData>
    <row r="1" spans="1:3">
      <c r="A1" s="1" t="s">
        <v>46</v>
      </c>
      <c r="B1" s="1" t="s">
        <v>47</v>
      </c>
      <c r="C1" s="1" t="s">
        <v>48</v>
      </c>
    </row>
    <row r="2" spans="1:3">
      <c r="A2" t="s">
        <v>49</v>
      </c>
      <c r="B2" t="s">
        <v>50</v>
      </c>
      <c r="C2" t="s">
        <v>51</v>
      </c>
    </row>
    <row r="3" spans="1:3">
      <c r="A3" t="s">
        <v>52</v>
      </c>
      <c r="B3" t="s">
        <v>53</v>
      </c>
      <c r="C3" t="s">
        <v>54</v>
      </c>
    </row>
    <row r="4" spans="1:1">
      <c r="A4" t="s">
        <v>55</v>
      </c>
    </row>
    <row r="5" spans="1:2">
      <c r="A5" t="s">
        <v>56</v>
      </c>
      <c r="B5" t="s">
        <v>57</v>
      </c>
    </row>
    <row r="6" spans="1:1">
      <c r="A6" t="s">
        <v>58</v>
      </c>
    </row>
  </sheetData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Ghi chu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ASIA</dc:creator>
  <cp:lastModifiedBy>Hào Trần</cp:lastModifiedBy>
  <dcterms:created xsi:type="dcterms:W3CDTF">2022-06-23T17:29:00Z</dcterms:created>
  <dcterms:modified xsi:type="dcterms:W3CDTF">2025-12-27T02:06:13Z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1033-12.2.0.23196</vt:lpwstr>
  </property>
</Properties>
</file>
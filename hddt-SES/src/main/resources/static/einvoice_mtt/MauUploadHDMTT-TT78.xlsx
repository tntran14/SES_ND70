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180" tabRatio="600" firstSheet="0" activeTab="0" autoFilterDateGrouping="1"/>
  </bookViews>
  <sheets>
    <sheet name="Sheet1" sheetId="1" state="visible" r:id="rId1"/>
    <sheet name="Ghi chu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Tahoma"/>
      <charset val="134"/>
      <sz val="9"/>
    </font>
    <font>
      <name val="Times New Roman"/>
      <charset val="0"/>
      <sz val="11"/>
    </font>
    <font>
      <name val="Times New Roman"/>
      <charset val="0"/>
      <sz val="9"/>
    </font>
    <font>
      <name val="Tahoma"/>
      <charset val="134"/>
      <b val="1"/>
      <sz val="9"/>
    </font>
    <font>
      <name val="Tahoma"/>
      <charset val="1"/>
      <b val="1"/>
      <sz val="9"/>
    </font>
    <font>
      <name val="Times New Roman"/>
      <charset val="0"/>
      <b val="1"/>
      <sz val="9"/>
    </font>
  </fonts>
  <fills count="3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6" borderId="4" applyAlignment="1">
      <alignment vertical="center"/>
    </xf>
    <xf numFmtId="0" fontId="11" fillId="7" borderId="5" applyAlignment="1">
      <alignment vertical="center"/>
    </xf>
    <xf numFmtId="0" fontId="12" fillId="7" borderId="4" applyAlignment="1">
      <alignment vertical="center"/>
    </xf>
    <xf numFmtId="0" fontId="13" fillId="8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3" borderId="0" applyAlignment="1">
      <alignment vertical="center"/>
    </xf>
    <xf numFmtId="0" fontId="19" fillId="15" borderId="0" applyAlignment="1">
      <alignment vertical="center"/>
    </xf>
    <xf numFmtId="0" fontId="20" fillId="4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3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1" fontId="0" fillId="0" borderId="0" pivotButton="0" quotePrefix="0" xfId="0"/>
    <xf numFmtId="49" fontId="1" fillId="2" borderId="0" applyAlignment="1" pivotButton="0" quotePrefix="0" xfId="0">
      <alignment horizontal="center" vertical="center"/>
    </xf>
    <xf numFmtId="1" fontId="1" fillId="3" borderId="0" applyAlignment="1" pivotButton="0" quotePrefix="0" xfId="0">
      <alignment horizontal="center"/>
    </xf>
    <xf numFmtId="1" fontId="1" fillId="3" borderId="0" applyAlignment="1" pivotButton="0" quotePrefix="0" xfId="0">
      <alignment horizontal="center" vertical="center"/>
    </xf>
    <xf numFmtId="1" fontId="1" fillId="4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trann</author>
    <author>haof</author>
    <author>ASIA</author>
    <author>nguyen hungn</author>
  </authors>
  <commentList>
    <comment ref="J1" authorId="0" shapeId="0">
      <text>
        <t>Cách nhau bơi dấu ,</t>
      </text>
    </comment>
    <comment ref="N1" authorId="1" shapeId="0">
      <text>
        <t xml:space="preserve">Loại hóa đơn
1: Hóa đơn giá trị gia tăng
2: Hóa đơn bán hàng
</t>
      </text>
    </comment>
    <comment ref="O1" authorId="2" shapeId="0">
      <text>
        <t>Hình thức thanh toán
1: Tiền mặt
2: Chuyển khoản
3: Tiền mặt/ chuyển khoản
4: Đối trừ công nợ
5: Không thu tiền</t>
      </text>
    </comment>
    <comment ref="V1" authorId="2" shapeId="0">
      <text>
        <t>Ghi chú:
ThanhTien = SoLuong x DonGia</t>
      </text>
    </comment>
    <comment ref="X1" authorId="1" shapeId="0">
      <text>
        <t>Tiền thuế:
Tiền thuế = Thành tiền * (Thuế suát / 100 )</t>
      </text>
    </comment>
    <comment ref="Y1" authorId="2" shapeId="0">
      <text>
        <t>Tính chất hàng hóa, dịch vụ
1: HH/DV
2: KM
3: CK
4: Ghi chú</t>
      </text>
    </comment>
    <comment ref="AA1" authorId="3" shapeId="0">
      <text>
        <t>Tổng tiền = ThanhTien + TienThue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"/>
  <sheetViews>
    <sheetView tabSelected="1" workbookViewId="0">
      <selection activeCell="N14" sqref="N14"/>
    </sheetView>
  </sheetViews>
  <sheetFormatPr baseColWidth="8" defaultColWidth="9" defaultRowHeight="15" outlineLevelRow="5"/>
  <cols>
    <col width="9" customWidth="1" style="2" min="1" max="1"/>
    <col width="11.8190476190476" customWidth="1" style="2" min="2" max="2"/>
    <col width="16" customWidth="1" style="2" min="3" max="4"/>
    <col width="12.7238095238095" customWidth="1" style="2" min="5" max="7"/>
    <col width="19.1809523809524" customWidth="1" style="2" min="8" max="9"/>
    <col width="15.2666666666667" customWidth="1" style="2" min="10" max="11"/>
    <col width="16" customWidth="1" style="2" min="12" max="12"/>
    <col width="12.8190476190476" customWidth="1" style="2" min="13" max="13"/>
    <col width="22.1809523809524" customWidth="1" style="3" min="14" max="15"/>
    <col width="11.5428571428571" customWidth="1" min="16" max="16"/>
    <col width="15.447619047619" customWidth="1" min="17" max="17"/>
    <col width="14" customWidth="1" style="2" min="18" max="18"/>
    <col width="13.8190476190476" customWidth="1" min="19" max="19"/>
    <col width="9.18095238095238" customWidth="1" style="4" min="20" max="20"/>
    <col width="9.542857142857139" customWidth="1" style="5" min="21" max="21"/>
    <col width="13" customWidth="1" min="22" max="22"/>
    <col width="10" customWidth="1" min="23" max="25"/>
    <col width="11.8761904761905" customWidth="1" min="27" max="27"/>
    <col width="20" customWidth="1" min="28" max="28"/>
    <col width="20" customWidth="1" min="29" max="29"/>
  </cols>
  <sheetData>
    <row r="1">
      <c r="A1" s="6" t="inlineStr">
        <is>
          <t>MaHD(*)</t>
        </is>
      </c>
      <c r="B1" s="2" t="inlineStr">
        <is>
          <t>MaSoThue</t>
        </is>
      </c>
      <c r="C1" s="2" t="inlineStr">
        <is>
          <t>TenNguoiMua</t>
        </is>
      </c>
      <c r="D1" s="2" t="inlineStr">
        <is>
          <t>MaSoDVQHNS</t>
        </is>
      </c>
      <c r="E1" s="2" t="inlineStr">
        <is>
          <t>CCCD</t>
        </is>
      </c>
      <c r="F1" s="2" t="inlineStr">
        <is>
          <t>SoHoChieu</t>
        </is>
      </c>
      <c r="G1" s="2" t="inlineStr">
        <is>
          <t>TenDonVi</t>
        </is>
      </c>
      <c r="H1" s="2" t="inlineStr">
        <is>
          <t>DiaChiKhachHang</t>
        </is>
      </c>
      <c r="I1" s="2" t="inlineStr">
        <is>
          <t>MailKhachHang</t>
        </is>
      </c>
      <c r="J1" s="2" t="inlineStr">
        <is>
          <t>MailCC</t>
        </is>
      </c>
      <c r="K1" s="2" t="inlineStr">
        <is>
          <t>SoDienThoaiKH</t>
        </is>
      </c>
      <c r="L1" s="2" t="inlineStr">
        <is>
          <t>SoTaiKhoan</t>
        </is>
      </c>
      <c r="M1" s="2" t="inlineStr">
        <is>
          <t>TenNganHang</t>
        </is>
      </c>
      <c r="N1" s="7" t="inlineStr">
        <is>
          <t>LoaiHoaDon(*)</t>
        </is>
      </c>
      <c r="O1" s="7" t="inlineStr">
        <is>
          <t>HinhThucThanhToan(*)</t>
        </is>
      </c>
      <c r="P1" s="8" t="inlineStr">
        <is>
          <t>LoaiTien(*)</t>
        </is>
      </c>
      <c r="Q1" s="8" t="inlineStr">
        <is>
          <t>TenHangHoa(*)</t>
        </is>
      </c>
      <c r="R1" s="2" t="inlineStr">
        <is>
          <t>MaHangHoa</t>
        </is>
      </c>
      <c r="S1" t="inlineStr">
        <is>
          <t>DonViTinh</t>
        </is>
      </c>
      <c r="T1" s="4" t="inlineStr">
        <is>
          <t>SoLuong</t>
        </is>
      </c>
      <c r="U1" s="5" t="inlineStr">
        <is>
          <t>DonGia</t>
        </is>
      </c>
      <c r="V1" s="9" t="inlineStr">
        <is>
          <t>ThanhTien(*)</t>
        </is>
      </c>
      <c r="W1" s="9" t="inlineStr">
        <is>
          <t>ThueSuat(*)</t>
        </is>
      </c>
      <c r="X1" s="9" t="inlineStr">
        <is>
          <t>TienThue(*)</t>
        </is>
      </c>
      <c r="Y1" s="9" t="inlineStr">
        <is>
          <t>TinhChat(*)</t>
        </is>
      </c>
      <c r="Z1" s="9" t="inlineStr">
        <is>
          <t>TyGia(*)</t>
        </is>
      </c>
      <c r="AA1" s="9" t="inlineStr">
        <is>
          <t>TongTien(*)</t>
        </is>
      </c>
      <c r="AB1" s="5" t="inlineStr">
        <is>
          <t>LoaiHangHoaDacTrung</t>
        </is>
      </c>
      <c r="AC1" t="inlineStr">
        <is>
          <t>BienKiemSoatPTVC</t>
        </is>
      </c>
    </row>
    <row r="2">
      <c r="A2" s="2" t="inlineStr">
        <is>
          <t>1</t>
        </is>
      </c>
      <c r="B2" s="2" t="inlineStr">
        <is>
          <t>0107521365</t>
        </is>
      </c>
      <c r="G2" s="2" t="inlineStr">
        <is>
          <t>CÔNG TY A</t>
        </is>
      </c>
      <c r="H2" s="2" t="inlineStr">
        <is>
          <t>Địa chỉ A</t>
        </is>
      </c>
      <c r="I2" s="2" t="inlineStr">
        <is>
          <t>xxx@gmail.com</t>
        </is>
      </c>
      <c r="N2" s="3" t="n">
        <v>1</v>
      </c>
      <c r="O2" s="3" t="n">
        <v>2</v>
      </c>
      <c r="P2" t="inlineStr">
        <is>
          <t>VND</t>
        </is>
      </c>
      <c r="Q2" t="inlineStr">
        <is>
          <t>Sản phẩm 01</t>
        </is>
      </c>
      <c r="R2" s="2" t="inlineStr">
        <is>
          <t>01</t>
        </is>
      </c>
      <c r="S2" t="inlineStr">
        <is>
          <t>Chuyến</t>
        </is>
      </c>
      <c r="T2" s="4" t="n">
        <v>1</v>
      </c>
      <c r="U2" s="5" t="n">
        <v>480000</v>
      </c>
      <c r="V2">
        <f>T2*U2</f>
        <v/>
      </c>
      <c r="W2" t="n">
        <v>10</v>
      </c>
      <c r="X2">
        <f>V2*(W2/100)</f>
        <v/>
      </c>
      <c r="Y2" t="n">
        <v>1</v>
      </c>
      <c r="Z2" t="n">
        <v>1</v>
      </c>
      <c r="AA2" s="11">
        <f>SUM(V2,X2)</f>
        <v/>
      </c>
      <c r="AB2" s="12" t="n"/>
    </row>
    <row r="3">
      <c r="A3" s="2" t="inlineStr">
        <is>
          <t>1</t>
        </is>
      </c>
      <c r="Q3" t="inlineStr">
        <is>
          <t>Sản phẩm 02</t>
        </is>
      </c>
      <c r="R3" s="2" t="inlineStr">
        <is>
          <t>02</t>
        </is>
      </c>
      <c r="S3" t="inlineStr">
        <is>
          <t>Kg</t>
        </is>
      </c>
      <c r="T3" s="4" t="n">
        <v>2</v>
      </c>
      <c r="U3" s="5" t="n">
        <v>1600</v>
      </c>
      <c r="V3">
        <f>T3*U3</f>
        <v/>
      </c>
      <c r="W3" t="n">
        <v>10</v>
      </c>
      <c r="X3">
        <f>V3*(W3/100)</f>
        <v/>
      </c>
      <c r="Y3" t="n">
        <v>1</v>
      </c>
      <c r="AA3" s="11">
        <f>SUM(V3,X3)</f>
        <v/>
      </c>
    </row>
    <row r="4">
      <c r="A4" s="2" t="inlineStr">
        <is>
          <t>1</t>
        </is>
      </c>
      <c r="Q4" t="inlineStr">
        <is>
          <t>Sản phẩm 03</t>
        </is>
      </c>
      <c r="R4" s="2" t="inlineStr">
        <is>
          <t>03</t>
        </is>
      </c>
      <c r="S4" t="inlineStr">
        <is>
          <t>M3</t>
        </is>
      </c>
      <c r="T4" s="4" t="n">
        <v>3</v>
      </c>
      <c r="U4" s="5" t="n">
        <v>480000</v>
      </c>
      <c r="V4">
        <f>T4*U4</f>
        <v/>
      </c>
      <c r="W4" t="n">
        <v>10</v>
      </c>
      <c r="X4">
        <f>V4*(W4/100)</f>
        <v/>
      </c>
      <c r="Y4" t="n">
        <v>1</v>
      </c>
      <c r="AA4" s="11">
        <f>SUM(V4,X4)</f>
        <v/>
      </c>
    </row>
    <row r="5">
      <c r="A5" s="2" t="inlineStr">
        <is>
          <t>2</t>
        </is>
      </c>
      <c r="B5" s="2" t="inlineStr">
        <is>
          <t>0107521365</t>
        </is>
      </c>
      <c r="G5" s="2" t="inlineStr">
        <is>
          <t>CÔNG TY A</t>
        </is>
      </c>
      <c r="H5" s="2" t="inlineStr">
        <is>
          <t>Địa chỉ A</t>
        </is>
      </c>
      <c r="I5" s="2" t="inlineStr">
        <is>
          <t>xxx@gmail.com</t>
        </is>
      </c>
      <c r="N5" s="3" t="n">
        <v>2</v>
      </c>
      <c r="O5" s="3" t="n">
        <v>2</v>
      </c>
      <c r="P5" t="inlineStr">
        <is>
          <t>VND</t>
        </is>
      </c>
      <c r="Q5" t="inlineStr">
        <is>
          <t>Gói hàng 01</t>
        </is>
      </c>
      <c r="R5" s="2" t="inlineStr">
        <is>
          <t>ABC</t>
        </is>
      </c>
      <c r="T5" s="4" t="n">
        <v>3</v>
      </c>
      <c r="U5" s="5" t="n">
        <v>230000</v>
      </c>
      <c r="V5">
        <f>T5*U5</f>
        <v/>
      </c>
      <c r="X5">
        <f>V5*(W5/100)</f>
        <v/>
      </c>
      <c r="Y5" t="n">
        <v>1</v>
      </c>
      <c r="Z5" t="n">
        <v>1</v>
      </c>
      <c r="AA5" s="11">
        <f>SUM(V5,X5)</f>
        <v/>
      </c>
    </row>
    <row r="6">
      <c r="A6" s="2" t="inlineStr">
        <is>
          <t>END</t>
        </is>
      </c>
      <c r="AA6" s="11" t="n"/>
    </row>
  </sheetData>
  <pageMargins left="0.7" right="0.7" top="0.75" bottom="0.75" header="0.3" footer="0.3"/>
  <pageSetup orientation="portrait" paperSize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C1" sqref="C1:C3"/>
    </sheetView>
  </sheetViews>
  <sheetFormatPr baseColWidth="8" defaultColWidth="9" defaultRowHeight="15" outlineLevelRow="5"/>
  <cols>
    <col width="32.5428571428571" customWidth="1" min="1" max="1"/>
    <col width="25.5428571428571" customWidth="1" min="2" max="2"/>
    <col width="23.6285714285714" customWidth="1" min="3" max="3"/>
  </cols>
  <sheetData>
    <row r="1">
      <c r="A1" s="1" t="inlineStr">
        <is>
          <t>Hình thức thanh toán</t>
        </is>
      </c>
      <c r="B1" s="1" t="inlineStr">
        <is>
          <t>Tính chất hàng hóa, dịch vụ</t>
        </is>
      </c>
      <c r="C1" s="1" t="inlineStr">
        <is>
          <t>Loại hóa đơn</t>
        </is>
      </c>
      <c r="D1" t="inlineStr">
        <is>
          <t>LoaiHangHoaDacTrung</t>
        </is>
      </c>
    </row>
    <row r="2">
      <c r="A2" t="inlineStr">
        <is>
          <t>1: Tiền mặt</t>
        </is>
      </c>
      <c r="B2" t="inlineStr">
        <is>
          <t>1: HH/DV</t>
        </is>
      </c>
      <c r="C2" t="inlineStr">
        <is>
          <t>1: Hóa đơn giá trị gia tăng</t>
        </is>
      </c>
      <c r="D2" t="inlineStr">
        <is>
          <t>2: Dịch vụ vận chuyển (nhập BienKiemSoatPTVC)</t>
        </is>
      </c>
    </row>
    <row r="3">
      <c r="A3" t="inlineStr">
        <is>
          <t>2: Chuyển khoản</t>
        </is>
      </c>
      <c r="B3" t="inlineStr">
        <is>
          <t>2: KM</t>
        </is>
      </c>
      <c r="C3" t="inlineStr">
        <is>
          <t>2: Hóa đơn bán hàng</t>
        </is>
      </c>
      <c r="D3" t="inlineStr">
        <is>
          <t>Để trống nếu không phải hàng hóa đặc trưng</t>
        </is>
      </c>
    </row>
    <row r="4">
      <c r="A4" t="inlineStr">
        <is>
          <t>3: Tiền mặt/ chuyển khoản</t>
        </is>
      </c>
    </row>
    <row r="5">
      <c r="A5" t="inlineStr">
        <is>
          <t>4: Đối trừ công nợ</t>
        </is>
      </c>
      <c r="B5" t="inlineStr">
        <is>
          <t>4: Ghi chú</t>
        </is>
      </c>
    </row>
    <row r="6">
      <c r="A6" t="inlineStr">
        <is>
          <t>5: Không thu tiền</t>
        </is>
      </c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ASIA</dc:creator>
  <dcterms:created xsi:type="dcterms:W3CDTF">2022-06-23T17:29:00Z</dcterms:created>
  <dcterms:modified xsi:type="dcterms:W3CDTF">2026-09-22T13:35:53Z</dcterms:modified>
  <cp:lastModifiedBy>Hào Trần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1033-12.2.0.23196</vt:lpwstr>
  </property>
</Properties>
</file>